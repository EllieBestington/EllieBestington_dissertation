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QHI_root_data/"/>
    </mc:Choice>
  </mc:AlternateContent>
  <xr:revisionPtr revIDLastSave="1" documentId="8_{39676693-68BB-4820-83D6-B186742B7A27}" xr6:coauthVersionLast="47" xr6:coauthVersionMax="47" xr10:uidLastSave="{DD70F928-D3D6-433A-8E9F-C5232974C653}"/>
  <bookViews>
    <workbookView xWindow="-98" yWindow="-98" windowWidth="21795" windowHeight="12975" activeTab="1" xr2:uid="{697B9AC0-BBC7-4CD3-9478-81B902C1AC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7" i="1"/>
  <c r="G28" i="1"/>
  <c r="G29" i="1"/>
  <c r="G30" i="1"/>
  <c r="G31" i="1"/>
  <c r="G32" i="1"/>
  <c r="G33" i="1"/>
  <c r="G34" i="1"/>
  <c r="G35" i="1"/>
  <c r="G36" i="1"/>
  <c r="G37" i="1"/>
  <c r="G14" i="1"/>
  <c r="G15" i="1"/>
  <c r="G16" i="1"/>
  <c r="G17" i="1"/>
  <c r="G18" i="1"/>
  <c r="G19" i="1"/>
  <c r="G20" i="1"/>
  <c r="G21" i="1"/>
  <c r="G22" i="1"/>
  <c r="G23" i="1"/>
  <c r="G24" i="1"/>
  <c r="G25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<sst xmlns="http://schemas.openxmlformats.org/spreadsheetml/2006/main" count="83" uniqueCount="25">
  <si>
    <t>year</t>
  </si>
  <si>
    <t>site</t>
  </si>
  <si>
    <t>sub_plot</t>
  </si>
  <si>
    <t>thaw_1</t>
  </si>
  <si>
    <t>thaw_2</t>
  </si>
  <si>
    <t>thaw_3</t>
  </si>
  <si>
    <t>thaw_av</t>
  </si>
  <si>
    <t>HE</t>
  </si>
  <si>
    <t>KO</t>
  </si>
  <si>
    <t>QHI1</t>
  </si>
  <si>
    <t>QHI2</t>
  </si>
  <si>
    <t>QHI3</t>
  </si>
  <si>
    <t>QHI4</t>
  </si>
  <si>
    <t>QHI5</t>
  </si>
  <si>
    <t>QHI6</t>
  </si>
  <si>
    <t>QHI7</t>
  </si>
  <si>
    <t>QHI8</t>
  </si>
  <si>
    <t>QHI9</t>
  </si>
  <si>
    <t>QHI10</t>
  </si>
  <si>
    <t>QHI11</t>
  </si>
  <si>
    <t>QHI12</t>
  </si>
  <si>
    <t xml:space="preserve">or for my analysis since no 2023, compare start of season 2024 and end of season 2025 </t>
  </si>
  <si>
    <t>or do value as change in active layer over time (time being the 4 years 2022 to 2025 from when measurements were taken)</t>
  </si>
  <si>
    <t>then do analysis of change in active layer depth vs root biomass?</t>
  </si>
  <si>
    <t xml:space="preserve">all thaws in 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</si>
</sst>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Helvetica Neue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F1F4-C987-47EA-A1FB-9A7CF80B04A6}">
  <dimension ref="A1:G37"/>
  <sheetViews>
    <sheetView workbookViewId="0">
      <selection activeCell="H37" sqref="H37"/>
    </sheetView>
  </sheetViews>
  <sheetFormatPr defaultRowHeight="14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2022</v>
      </c>
      <c r="B2" s="1" t="s">
        <v>7</v>
      </c>
      <c r="C2" t="s">
        <v>9</v>
      </c>
      <c r="D2" s="2">
        <v>46.6</v>
      </c>
      <c r="E2" s="2">
        <v>50.3</v>
      </c>
      <c r="F2" s="2">
        <v>53.8</v>
      </c>
      <c r="G2">
        <f>AVERAGE(D2:F2)</f>
        <v>50.233333333333327</v>
      </c>
    </row>
    <row r="3" spans="1:7">
      <c r="A3">
        <v>2022</v>
      </c>
      <c r="B3" s="1" t="s">
        <v>7</v>
      </c>
      <c r="C3" t="s">
        <v>10</v>
      </c>
      <c r="D3" s="2">
        <v>59.4</v>
      </c>
      <c r="E3" s="2">
        <v>53.4</v>
      </c>
      <c r="F3" s="2">
        <v>43.2</v>
      </c>
      <c r="G3">
        <f t="shared" ref="G3:G37" si="0">AVERAGE(D3:F3)</f>
        <v>52</v>
      </c>
    </row>
    <row r="4" spans="1:7">
      <c r="A4">
        <v>2022</v>
      </c>
      <c r="B4" s="1" t="s">
        <v>7</v>
      </c>
      <c r="C4" t="s">
        <v>11</v>
      </c>
      <c r="D4" s="2">
        <v>42.3</v>
      </c>
      <c r="E4" s="2">
        <v>45.9</v>
      </c>
      <c r="F4" s="2">
        <v>45.2</v>
      </c>
      <c r="G4">
        <f t="shared" si="0"/>
        <v>44.466666666666661</v>
      </c>
    </row>
    <row r="5" spans="1:7">
      <c r="A5">
        <v>2022</v>
      </c>
      <c r="B5" s="1" t="s">
        <v>7</v>
      </c>
      <c r="C5" t="s">
        <v>12</v>
      </c>
      <c r="D5" s="2">
        <v>51.3</v>
      </c>
      <c r="E5" s="2">
        <v>43</v>
      </c>
      <c r="F5" s="2">
        <v>49.4</v>
      </c>
      <c r="G5">
        <f t="shared" si="0"/>
        <v>47.9</v>
      </c>
    </row>
    <row r="6" spans="1:7">
      <c r="A6">
        <v>2022</v>
      </c>
      <c r="B6" s="1" t="s">
        <v>7</v>
      </c>
      <c r="C6" t="s">
        <v>13</v>
      </c>
      <c r="D6" s="2">
        <v>41.7</v>
      </c>
      <c r="E6" s="2">
        <v>44.6</v>
      </c>
      <c r="F6" s="2">
        <v>48.5</v>
      </c>
      <c r="G6">
        <f t="shared" si="0"/>
        <v>44.933333333333337</v>
      </c>
    </row>
    <row r="7" spans="1:7">
      <c r="A7">
        <v>2022</v>
      </c>
      <c r="B7" s="1" t="s">
        <v>7</v>
      </c>
      <c r="C7" t="s">
        <v>14</v>
      </c>
      <c r="D7" s="2">
        <v>52.7</v>
      </c>
      <c r="E7" s="2">
        <v>58.3</v>
      </c>
      <c r="F7" s="2">
        <v>56.5</v>
      </c>
      <c r="G7">
        <f t="shared" si="0"/>
        <v>55.833333333333336</v>
      </c>
    </row>
    <row r="8" spans="1:7">
      <c r="A8">
        <v>2022</v>
      </c>
      <c r="B8" s="1" t="s">
        <v>8</v>
      </c>
      <c r="C8" t="s">
        <v>15</v>
      </c>
      <c r="D8" s="2">
        <v>75.400000000000006</v>
      </c>
      <c r="E8" s="2">
        <v>77.599999999999994</v>
      </c>
      <c r="F8" s="2">
        <v>72.3</v>
      </c>
      <c r="G8">
        <f t="shared" si="0"/>
        <v>75.100000000000009</v>
      </c>
    </row>
    <row r="9" spans="1:7">
      <c r="A9">
        <v>2022</v>
      </c>
      <c r="B9" s="1" t="s">
        <v>8</v>
      </c>
      <c r="C9" t="s">
        <v>16</v>
      </c>
      <c r="D9" s="2">
        <v>80.900000000000006</v>
      </c>
      <c r="E9" s="2">
        <v>81.900000000000006</v>
      </c>
      <c r="F9" s="2">
        <v>83.4</v>
      </c>
      <c r="G9">
        <f t="shared" si="0"/>
        <v>82.066666666666677</v>
      </c>
    </row>
    <row r="10" spans="1:7">
      <c r="A10">
        <v>2022</v>
      </c>
      <c r="B10" s="1" t="s">
        <v>8</v>
      </c>
      <c r="C10" t="s">
        <v>17</v>
      </c>
      <c r="D10" s="2">
        <v>90.6</v>
      </c>
      <c r="E10" s="1">
        <v>100</v>
      </c>
      <c r="F10" s="2">
        <v>85.2</v>
      </c>
      <c r="G10">
        <f t="shared" si="0"/>
        <v>91.933333333333337</v>
      </c>
    </row>
    <row r="11" spans="1:7">
      <c r="A11">
        <v>2022</v>
      </c>
      <c r="B11" s="1" t="s">
        <v>8</v>
      </c>
      <c r="C11" t="s">
        <v>18</v>
      </c>
      <c r="D11" s="1">
        <v>100</v>
      </c>
      <c r="E11" s="2">
        <v>95.4</v>
      </c>
      <c r="F11" s="1">
        <v>100</v>
      </c>
      <c r="G11">
        <f t="shared" si="0"/>
        <v>98.466666666666654</v>
      </c>
    </row>
    <row r="12" spans="1:7">
      <c r="A12">
        <v>2022</v>
      </c>
      <c r="B12" s="1" t="s">
        <v>8</v>
      </c>
      <c r="C12" t="s">
        <v>19</v>
      </c>
      <c r="D12" s="2">
        <v>79.5</v>
      </c>
      <c r="E12" s="2">
        <v>79.2</v>
      </c>
      <c r="F12" s="2">
        <v>77.3</v>
      </c>
      <c r="G12">
        <f t="shared" si="0"/>
        <v>78.666666666666671</v>
      </c>
    </row>
    <row r="13" spans="1:7">
      <c r="A13">
        <v>2022</v>
      </c>
      <c r="B13" s="1" t="s">
        <v>8</v>
      </c>
      <c r="C13" t="s">
        <v>20</v>
      </c>
      <c r="D13" s="2">
        <v>79.3</v>
      </c>
      <c r="E13" s="2">
        <v>72.599999999999994</v>
      </c>
      <c r="F13" s="2">
        <v>70.5</v>
      </c>
      <c r="G13">
        <f t="shared" si="0"/>
        <v>74.133333333333326</v>
      </c>
    </row>
    <row r="14" spans="1:7">
      <c r="A14">
        <v>2024</v>
      </c>
      <c r="B14" s="1" t="s">
        <v>7</v>
      </c>
      <c r="C14" t="s">
        <v>9</v>
      </c>
      <c r="D14" s="2">
        <v>47.3</v>
      </c>
      <c r="E14" s="2">
        <v>52.2</v>
      </c>
      <c r="F14" s="2">
        <v>45.8</v>
      </c>
      <c r="G14">
        <f t="shared" si="0"/>
        <v>48.433333333333337</v>
      </c>
    </row>
    <row r="15" spans="1:7">
      <c r="A15">
        <v>2024</v>
      </c>
      <c r="B15" s="1" t="s">
        <v>7</v>
      </c>
      <c r="C15" t="s">
        <v>10</v>
      </c>
      <c r="D15" s="2">
        <v>48</v>
      </c>
      <c r="E15" s="2">
        <v>50.4</v>
      </c>
      <c r="F15" s="2">
        <v>46.8</v>
      </c>
      <c r="G15">
        <f t="shared" si="0"/>
        <v>48.4</v>
      </c>
    </row>
    <row r="16" spans="1:7">
      <c r="A16">
        <v>2024</v>
      </c>
      <c r="B16" s="1" t="s">
        <v>7</v>
      </c>
      <c r="C16" t="s">
        <v>11</v>
      </c>
      <c r="D16" s="2">
        <v>41</v>
      </c>
      <c r="E16" s="2">
        <v>35.6</v>
      </c>
      <c r="F16" s="2">
        <v>39.200000000000003</v>
      </c>
      <c r="G16">
        <f t="shared" si="0"/>
        <v>38.6</v>
      </c>
    </row>
    <row r="17" spans="1:7">
      <c r="A17">
        <v>2024</v>
      </c>
      <c r="B17" s="1" t="s">
        <v>7</v>
      </c>
      <c r="C17" t="s">
        <v>12</v>
      </c>
      <c r="D17" s="2">
        <v>40.4</v>
      </c>
      <c r="E17" s="2">
        <v>38.6</v>
      </c>
      <c r="F17" s="2">
        <v>41.4</v>
      </c>
      <c r="G17">
        <f t="shared" si="0"/>
        <v>40.133333333333333</v>
      </c>
    </row>
    <row r="18" spans="1:7">
      <c r="A18">
        <v>2024</v>
      </c>
      <c r="B18" s="1" t="s">
        <v>7</v>
      </c>
      <c r="C18" t="s">
        <v>13</v>
      </c>
      <c r="D18" s="2">
        <v>38</v>
      </c>
      <c r="E18" s="2">
        <v>40.200000000000003</v>
      </c>
      <c r="F18" s="2">
        <v>39</v>
      </c>
      <c r="G18">
        <f t="shared" si="0"/>
        <v>39.06666666666667</v>
      </c>
    </row>
    <row r="19" spans="1:7">
      <c r="A19">
        <v>2024</v>
      </c>
      <c r="B19" s="1" t="s">
        <v>7</v>
      </c>
      <c r="C19" t="s">
        <v>14</v>
      </c>
      <c r="D19" s="2">
        <v>39.5</v>
      </c>
      <c r="E19" s="2">
        <v>48</v>
      </c>
      <c r="F19" s="2">
        <v>51.1</v>
      </c>
      <c r="G19">
        <f t="shared" si="0"/>
        <v>46.199999999999996</v>
      </c>
    </row>
    <row r="20" spans="1:7">
      <c r="A20">
        <v>2024</v>
      </c>
      <c r="B20" s="1" t="s">
        <v>8</v>
      </c>
      <c r="C20" t="s">
        <v>15</v>
      </c>
      <c r="D20" s="2">
        <v>68.5</v>
      </c>
      <c r="E20" s="2">
        <v>62.7</v>
      </c>
      <c r="F20" s="2">
        <v>67.900000000000006</v>
      </c>
      <c r="G20">
        <f t="shared" si="0"/>
        <v>66.36666666666666</v>
      </c>
    </row>
    <row r="21" spans="1:7">
      <c r="A21">
        <v>2024</v>
      </c>
      <c r="B21" s="1" t="s">
        <v>8</v>
      </c>
      <c r="C21" t="s">
        <v>16</v>
      </c>
      <c r="D21" s="2">
        <v>66.3</v>
      </c>
      <c r="E21" s="2">
        <v>65</v>
      </c>
      <c r="F21" s="2">
        <v>63.1</v>
      </c>
      <c r="G21">
        <f t="shared" si="0"/>
        <v>64.8</v>
      </c>
    </row>
    <row r="22" spans="1:7">
      <c r="A22">
        <v>2024</v>
      </c>
      <c r="B22" s="1" t="s">
        <v>8</v>
      </c>
      <c r="C22" t="s">
        <v>17</v>
      </c>
      <c r="D22" s="2">
        <v>63.5</v>
      </c>
      <c r="E22" s="2">
        <v>63.5</v>
      </c>
      <c r="F22" s="2">
        <v>69.7</v>
      </c>
      <c r="G22">
        <f t="shared" si="0"/>
        <v>65.566666666666663</v>
      </c>
    </row>
    <row r="23" spans="1:7">
      <c r="A23">
        <v>2024</v>
      </c>
      <c r="B23" s="1" t="s">
        <v>8</v>
      </c>
      <c r="C23" t="s">
        <v>18</v>
      </c>
      <c r="D23" s="2">
        <v>78.2</v>
      </c>
      <c r="E23" s="2">
        <v>73.099999999999994</v>
      </c>
      <c r="F23" s="2">
        <v>79.5</v>
      </c>
      <c r="G23">
        <f t="shared" si="0"/>
        <v>76.933333333333337</v>
      </c>
    </row>
    <row r="24" spans="1:7">
      <c r="A24">
        <v>2024</v>
      </c>
      <c r="B24" s="1" t="s">
        <v>8</v>
      </c>
      <c r="C24" t="s">
        <v>19</v>
      </c>
      <c r="D24" s="2">
        <v>61.5</v>
      </c>
      <c r="E24" s="2">
        <v>74.099999999999994</v>
      </c>
      <c r="F24" s="2">
        <v>72.5</v>
      </c>
      <c r="G24">
        <f t="shared" si="0"/>
        <v>69.36666666666666</v>
      </c>
    </row>
    <row r="25" spans="1:7">
      <c r="A25">
        <v>2024</v>
      </c>
      <c r="B25" s="1" t="s">
        <v>8</v>
      </c>
      <c r="C25" t="s">
        <v>20</v>
      </c>
      <c r="D25" s="2">
        <v>70.8</v>
      </c>
      <c r="E25" s="2">
        <v>69.8</v>
      </c>
      <c r="F25" s="2">
        <v>69.099999999999994</v>
      </c>
      <c r="G25">
        <f t="shared" si="0"/>
        <v>69.899999999999991</v>
      </c>
    </row>
    <row r="26" spans="1:7">
      <c r="A26">
        <v>2025</v>
      </c>
      <c r="B26" s="1" t="s">
        <v>7</v>
      </c>
      <c r="C26" t="s">
        <v>9</v>
      </c>
      <c r="D26" s="2">
        <v>53</v>
      </c>
      <c r="E26" s="2">
        <v>58</v>
      </c>
      <c r="F26" s="2">
        <v>54.5</v>
      </c>
      <c r="G26">
        <f t="shared" si="0"/>
        <v>55.166666666666664</v>
      </c>
    </row>
    <row r="27" spans="1:7">
      <c r="A27">
        <v>2025</v>
      </c>
      <c r="B27" s="1" t="s">
        <v>7</v>
      </c>
      <c r="C27" t="s">
        <v>10</v>
      </c>
      <c r="D27" s="2">
        <v>41</v>
      </c>
      <c r="E27" s="2">
        <v>56.8</v>
      </c>
      <c r="F27" s="2">
        <v>56.1</v>
      </c>
      <c r="G27">
        <f t="shared" si="0"/>
        <v>51.300000000000004</v>
      </c>
    </row>
    <row r="28" spans="1:7">
      <c r="A28">
        <v>2025</v>
      </c>
      <c r="B28" s="1" t="s">
        <v>7</v>
      </c>
      <c r="C28" t="s">
        <v>11</v>
      </c>
      <c r="D28" s="2">
        <v>37.6</v>
      </c>
      <c r="E28" s="2">
        <v>51.3</v>
      </c>
      <c r="F28" s="2">
        <v>37.299999999999997</v>
      </c>
      <c r="G28">
        <f t="shared" si="0"/>
        <v>42.06666666666667</v>
      </c>
    </row>
    <row r="29" spans="1:7">
      <c r="A29">
        <v>2025</v>
      </c>
      <c r="B29" s="1" t="s">
        <v>7</v>
      </c>
      <c r="C29" t="s">
        <v>12</v>
      </c>
      <c r="D29" s="2">
        <v>53</v>
      </c>
      <c r="E29" s="2">
        <v>36.799999999999997</v>
      </c>
      <c r="F29" s="2">
        <v>37.299999999999997</v>
      </c>
      <c r="G29">
        <f t="shared" si="0"/>
        <v>42.366666666666667</v>
      </c>
    </row>
    <row r="30" spans="1:7">
      <c r="A30">
        <v>2025</v>
      </c>
      <c r="B30" s="1" t="s">
        <v>7</v>
      </c>
      <c r="C30" t="s">
        <v>13</v>
      </c>
      <c r="D30" s="2">
        <v>36.1</v>
      </c>
      <c r="E30" s="2">
        <v>33.200000000000003</v>
      </c>
      <c r="F30" s="2">
        <v>32.4</v>
      </c>
      <c r="G30">
        <f t="shared" si="0"/>
        <v>33.900000000000006</v>
      </c>
    </row>
    <row r="31" spans="1:7">
      <c r="A31">
        <v>2025</v>
      </c>
      <c r="B31" s="1" t="s">
        <v>7</v>
      </c>
      <c r="C31" t="s">
        <v>14</v>
      </c>
      <c r="D31" s="2">
        <v>30.8</v>
      </c>
      <c r="E31" s="2">
        <v>39.1</v>
      </c>
      <c r="F31" s="2">
        <v>39.299999999999997</v>
      </c>
      <c r="G31">
        <f t="shared" si="0"/>
        <v>36.4</v>
      </c>
    </row>
    <row r="32" spans="1:7">
      <c r="A32">
        <v>2025</v>
      </c>
      <c r="B32" s="1" t="s">
        <v>8</v>
      </c>
      <c r="C32" t="s">
        <v>15</v>
      </c>
      <c r="D32" s="2">
        <v>49.1</v>
      </c>
      <c r="E32" s="2">
        <v>46.2</v>
      </c>
      <c r="F32" s="2">
        <v>49.9</v>
      </c>
      <c r="G32">
        <f t="shared" si="0"/>
        <v>48.400000000000006</v>
      </c>
    </row>
    <row r="33" spans="1:7">
      <c r="A33">
        <v>2025</v>
      </c>
      <c r="B33" s="1" t="s">
        <v>8</v>
      </c>
      <c r="C33" t="s">
        <v>16</v>
      </c>
      <c r="D33" s="2">
        <v>62.5</v>
      </c>
      <c r="E33" s="2">
        <v>67.400000000000006</v>
      </c>
      <c r="F33" s="2">
        <v>69.5</v>
      </c>
      <c r="G33">
        <f t="shared" si="0"/>
        <v>66.466666666666669</v>
      </c>
    </row>
    <row r="34" spans="1:7">
      <c r="A34">
        <v>2025</v>
      </c>
      <c r="B34" s="1" t="s">
        <v>8</v>
      </c>
      <c r="C34" t="s">
        <v>17</v>
      </c>
      <c r="D34" s="2">
        <v>58.4</v>
      </c>
      <c r="E34" s="2">
        <v>60.5</v>
      </c>
      <c r="F34" s="2">
        <v>48</v>
      </c>
      <c r="G34">
        <f t="shared" si="0"/>
        <v>55.633333333333333</v>
      </c>
    </row>
    <row r="35" spans="1:7">
      <c r="A35">
        <v>2025</v>
      </c>
      <c r="B35" s="1" t="s">
        <v>8</v>
      </c>
      <c r="C35" t="s">
        <v>18</v>
      </c>
      <c r="D35" s="2">
        <v>46</v>
      </c>
      <c r="E35" s="2">
        <v>47</v>
      </c>
      <c r="F35" s="2">
        <v>40.299999999999997</v>
      </c>
      <c r="G35">
        <f t="shared" si="0"/>
        <v>44.433333333333337</v>
      </c>
    </row>
    <row r="36" spans="1:7">
      <c r="A36">
        <v>2025</v>
      </c>
      <c r="B36" s="1" t="s">
        <v>8</v>
      </c>
      <c r="C36" t="s">
        <v>19</v>
      </c>
      <c r="D36" s="2">
        <v>55.2</v>
      </c>
      <c r="E36" s="2">
        <v>53.3</v>
      </c>
      <c r="F36" s="2">
        <v>56.5</v>
      </c>
      <c r="G36">
        <f t="shared" si="0"/>
        <v>55</v>
      </c>
    </row>
    <row r="37" spans="1:7">
      <c r="A37">
        <v>2025</v>
      </c>
      <c r="B37" s="1" t="s">
        <v>8</v>
      </c>
      <c r="C37" t="s">
        <v>20</v>
      </c>
      <c r="D37" s="2">
        <v>49.8</v>
      </c>
      <c r="E37" s="2">
        <v>57.1</v>
      </c>
      <c r="F37" s="2">
        <v>52.2</v>
      </c>
      <c r="G37">
        <f t="shared" si="0"/>
        <v>53.033333333333339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7873-0343-41BC-8A42-E8A66994F0EA}">
  <dimension ref="A1:A6"/>
  <sheetViews>
    <sheetView tabSelected="1" workbookViewId="0">
      <selection activeCell="B22" sqref="B22"/>
    </sheetView>
  </sheetViews>
  <sheetFormatPr defaultRowHeight="14.25"/>
  <sheetData>
    <row r="1" spans="1:1">
      <c r="A1" t="s">
        <v>21</v>
      </c>
    </row>
    <row r="3" spans="1:1">
      <c r="A3" t="s">
        <v>22</v>
      </c>
    </row>
    <row r="4" spans="1:1">
      <c r="A4" t="s">
        <v>23</v>
      </c>
    </row>
    <row r="6" spans="1:1">
      <c r="A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2026-01-19T13:25:44Z</dcterms:created>
  <dcterms:modified xsi:type="dcterms:W3CDTF">2026-01-19T13:36:49Z</dcterms:modified>
</cp:coreProperties>
</file>