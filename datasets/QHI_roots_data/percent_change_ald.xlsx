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QHI_root_data/alds/"/>
    </mc:Choice>
  </mc:AlternateContent>
  <xr:revisionPtr revIDLastSave="0" documentId="8_{54CC1B2A-4CBA-4B4E-8010-72A63E3022B5}" xr6:coauthVersionLast="47" xr6:coauthVersionMax="47" xr10:uidLastSave="{00000000-0000-0000-0000-000000000000}"/>
  <bookViews>
    <workbookView xWindow="-98" yWindow="-98" windowWidth="21795" windowHeight="12975" xr2:uid="{E29B5FB7-7F2E-4821-8BDB-469C23F1B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6" i="1"/>
</calcChain>
</file>

<file path=xl/sharedStrings.xml><?xml version="1.0" encoding="utf-8"?>
<sst xmlns="http://schemas.openxmlformats.org/spreadsheetml/2006/main" count="132" uniqueCount="21">
  <si>
    <t>ald</t>
  </si>
  <si>
    <t>HE</t>
  </si>
  <si>
    <t>KO</t>
  </si>
  <si>
    <t>Phenology ridge tussock transect</t>
  </si>
  <si>
    <t>Phenology ridge dryas transect NEW</t>
  </si>
  <si>
    <t>Phenology ridge salix transect NEW</t>
  </si>
  <si>
    <t>type</t>
  </si>
  <si>
    <t>site</t>
  </si>
  <si>
    <t>lat</t>
  </si>
  <si>
    <t>lon</t>
  </si>
  <si>
    <t>year</t>
  </si>
  <si>
    <t>elevation</t>
  </si>
  <si>
    <t xml:space="preserve">slope </t>
  </si>
  <si>
    <t>doy</t>
  </si>
  <si>
    <t>thaw_av</t>
  </si>
  <si>
    <t>change_thaw</t>
  </si>
  <si>
    <t>percent_change</t>
  </si>
  <si>
    <t>slope_category</t>
  </si>
  <si>
    <t>Flat</t>
  </si>
  <si>
    <t>Moderate</t>
  </si>
  <si>
    <t>Steep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</si>
</sst>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4"/>
      <color rgb="FF000000"/>
      <name val="Segoe UI"/>
      <family val="2"/>
    </font>
    <font>
      <sz val="10"/>
      <color theme="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8F3-9EF1-4891-A90B-E41B87E847DF}">
  <dimension ref="A1:L49"/>
  <sheetViews>
    <sheetView tabSelected="1" topLeftCell="D1" workbookViewId="0">
      <selection activeCell="L50" sqref="L50"/>
    </sheetView>
  </sheetViews>
  <sheetFormatPr defaultRowHeight="14.25"/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0</v>
      </c>
      <c r="B2" t="s">
        <v>1</v>
      </c>
      <c r="C2">
        <v>69.574881039999994</v>
      </c>
      <c r="D2">
        <v>-138.86307059999999</v>
      </c>
      <c r="E2">
        <v>2023</v>
      </c>
      <c r="F2" s="1">
        <v>71.664990000000003</v>
      </c>
      <c r="G2" s="1">
        <v>1.0686739999999999</v>
      </c>
      <c r="H2" s="2">
        <v>228</v>
      </c>
      <c r="I2">
        <v>50.233333333333327</v>
      </c>
    </row>
    <row r="3" spans="1:12">
      <c r="A3" t="s">
        <v>0</v>
      </c>
      <c r="B3" t="s">
        <v>1</v>
      </c>
      <c r="C3">
        <v>69.574888920000006</v>
      </c>
      <c r="D3">
        <v>-138.8631728</v>
      </c>
      <c r="E3">
        <v>2023</v>
      </c>
      <c r="F3" s="1">
        <v>71.566590000000005</v>
      </c>
      <c r="G3" s="1">
        <v>3.236253</v>
      </c>
      <c r="H3" s="2">
        <v>228</v>
      </c>
      <c r="I3">
        <v>52</v>
      </c>
    </row>
    <row r="4" spans="1:12">
      <c r="A4" t="s">
        <v>0</v>
      </c>
      <c r="B4" t="s">
        <v>1</v>
      </c>
      <c r="C4">
        <v>69.574882380000005</v>
      </c>
      <c r="D4">
        <v>-138.8634658</v>
      </c>
      <c r="E4">
        <v>2023</v>
      </c>
      <c r="F4" s="1">
        <v>71.334130000000002</v>
      </c>
      <c r="G4" s="1">
        <v>2.6920440000000001</v>
      </c>
      <c r="H4" s="2">
        <v>228</v>
      </c>
      <c r="I4">
        <v>44.466666666666661</v>
      </c>
    </row>
    <row r="5" spans="1:12">
      <c r="A5" t="s">
        <v>0</v>
      </c>
      <c r="B5" t="s">
        <v>1</v>
      </c>
      <c r="C5">
        <v>69.574860330000007</v>
      </c>
      <c r="D5">
        <v>-138.8637913</v>
      </c>
      <c r="E5">
        <v>2023</v>
      </c>
      <c r="F5" s="1">
        <v>71.194389999999999</v>
      </c>
      <c r="G5" s="1">
        <v>1.1705080000000001</v>
      </c>
      <c r="H5" s="2">
        <v>228</v>
      </c>
      <c r="I5">
        <v>47.9</v>
      </c>
    </row>
    <row r="6" spans="1:12">
      <c r="A6" t="s">
        <v>0</v>
      </c>
      <c r="B6" t="s">
        <v>1</v>
      </c>
      <c r="C6">
        <v>69.574861170000005</v>
      </c>
      <c r="D6">
        <v>-138.86387010000001</v>
      </c>
      <c r="E6">
        <v>2023</v>
      </c>
      <c r="F6" s="1">
        <v>71.170460000000006</v>
      </c>
      <c r="G6" s="1">
        <v>1.1862360000000001</v>
      </c>
      <c r="H6" s="2">
        <v>228</v>
      </c>
      <c r="I6">
        <v>44.933333333333337</v>
      </c>
    </row>
    <row r="7" spans="1:12">
      <c r="A7" t="s">
        <v>0</v>
      </c>
      <c r="B7" t="s">
        <v>1</v>
      </c>
      <c r="C7">
        <v>69.574857399999999</v>
      </c>
      <c r="D7">
        <v>-138.8640747</v>
      </c>
      <c r="E7">
        <v>2023</v>
      </c>
      <c r="F7" s="1">
        <v>71.030659999999997</v>
      </c>
      <c r="G7" s="1">
        <v>1.785264</v>
      </c>
      <c r="H7" s="2">
        <v>228</v>
      </c>
      <c r="I7">
        <v>55.833333333333336</v>
      </c>
    </row>
    <row r="8" spans="1:12">
      <c r="A8" t="s">
        <v>0</v>
      </c>
      <c r="B8" t="s">
        <v>2</v>
      </c>
      <c r="C8">
        <v>69.576416179999995</v>
      </c>
      <c r="D8">
        <v>-138.86817970000001</v>
      </c>
      <c r="E8">
        <v>2023</v>
      </c>
      <c r="F8" s="1">
        <v>71.11157</v>
      </c>
      <c r="G8" s="1">
        <v>3.3767399999999999</v>
      </c>
      <c r="H8" s="2">
        <v>228</v>
      </c>
      <c r="I8">
        <v>75.100000000000009</v>
      </c>
    </row>
    <row r="9" spans="1:12">
      <c r="A9" t="s">
        <v>0</v>
      </c>
      <c r="B9" t="s">
        <v>2</v>
      </c>
      <c r="C9">
        <v>69.576403529999993</v>
      </c>
      <c r="D9">
        <v>-138.86811879999999</v>
      </c>
      <c r="E9">
        <v>2023</v>
      </c>
      <c r="F9" s="1">
        <v>71.146529999999998</v>
      </c>
      <c r="G9" s="1">
        <v>2.5742989999999999</v>
      </c>
      <c r="H9" s="2">
        <v>228</v>
      </c>
      <c r="I9">
        <v>82.066666666666677</v>
      </c>
    </row>
    <row r="10" spans="1:12">
      <c r="A10" t="s">
        <v>0</v>
      </c>
      <c r="B10" t="s">
        <v>2</v>
      </c>
      <c r="C10">
        <v>69.576461190000003</v>
      </c>
      <c r="D10">
        <v>-138.86773909999999</v>
      </c>
      <c r="E10">
        <v>2023</v>
      </c>
      <c r="F10" s="1">
        <v>71.806269999999998</v>
      </c>
      <c r="G10" s="1">
        <v>4.376296</v>
      </c>
      <c r="H10" s="2">
        <v>228</v>
      </c>
      <c r="I10">
        <v>91.933333333333337</v>
      </c>
    </row>
    <row r="11" spans="1:12">
      <c r="A11" t="s">
        <v>0</v>
      </c>
      <c r="B11" t="s">
        <v>2</v>
      </c>
      <c r="C11">
        <v>69.576468489999996</v>
      </c>
      <c r="D11">
        <v>-138.8676384</v>
      </c>
      <c r="E11">
        <v>2023</v>
      </c>
      <c r="F11" s="1">
        <v>71.979259999999996</v>
      </c>
      <c r="G11" s="1">
        <v>4.6941449999999998</v>
      </c>
      <c r="H11" s="2">
        <v>228</v>
      </c>
      <c r="I11">
        <v>98.466666666666654</v>
      </c>
    </row>
    <row r="12" spans="1:12">
      <c r="A12" t="s">
        <v>0</v>
      </c>
      <c r="B12" t="s">
        <v>2</v>
      </c>
      <c r="C12">
        <v>69.576505789999999</v>
      </c>
      <c r="D12">
        <v>-138.86729539999999</v>
      </c>
      <c r="E12">
        <v>2023</v>
      </c>
      <c r="F12" s="1">
        <v>72.876679999999993</v>
      </c>
      <c r="G12" s="1">
        <v>2.3661750000000001</v>
      </c>
      <c r="H12" s="2">
        <v>228</v>
      </c>
      <c r="I12">
        <v>78.666666666666671</v>
      </c>
    </row>
    <row r="13" spans="1:12">
      <c r="A13" t="s">
        <v>0</v>
      </c>
      <c r="B13" t="s">
        <v>2</v>
      </c>
      <c r="C13">
        <v>69.576544850000005</v>
      </c>
      <c r="D13">
        <v>-138.86699780000001</v>
      </c>
      <c r="E13">
        <v>2023</v>
      </c>
      <c r="F13" s="1">
        <v>73.514600000000002</v>
      </c>
      <c r="G13" s="1">
        <v>4.204345</v>
      </c>
      <c r="H13" s="2">
        <v>228</v>
      </c>
      <c r="I13">
        <v>74.133333333333326</v>
      </c>
    </row>
    <row r="14" spans="1:12">
      <c r="A14" t="s">
        <v>0</v>
      </c>
      <c r="B14" t="s">
        <v>3</v>
      </c>
      <c r="C14">
        <v>69.577619990000002</v>
      </c>
      <c r="D14">
        <v>-138.91274999999999</v>
      </c>
      <c r="E14">
        <v>2023</v>
      </c>
      <c r="F14" s="1">
        <v>57.668939999999999</v>
      </c>
      <c r="G14" s="1">
        <v>2.7936839999999998</v>
      </c>
      <c r="H14" s="2">
        <v>228</v>
      </c>
      <c r="I14">
        <v>45.70000000000001</v>
      </c>
    </row>
    <row r="15" spans="1:12">
      <c r="A15" t="s">
        <v>0</v>
      </c>
      <c r="B15" t="s">
        <v>3</v>
      </c>
      <c r="C15">
        <v>69.577619990000002</v>
      </c>
      <c r="D15">
        <v>-138.91274999999999</v>
      </c>
      <c r="E15">
        <v>2023</v>
      </c>
      <c r="F15" s="1">
        <v>57.668939999999999</v>
      </c>
      <c r="G15" s="1">
        <v>2.7936839999999998</v>
      </c>
      <c r="H15" s="2">
        <v>228</v>
      </c>
      <c r="I15">
        <v>50.166666666666664</v>
      </c>
    </row>
    <row r="16" spans="1:12">
      <c r="A16" t="s">
        <v>0</v>
      </c>
      <c r="B16" t="s">
        <v>3</v>
      </c>
      <c r="C16">
        <v>69.577619990000002</v>
      </c>
      <c r="D16">
        <v>-138.91274999999999</v>
      </c>
      <c r="E16">
        <v>2023</v>
      </c>
      <c r="F16" s="1">
        <v>57.668939999999999</v>
      </c>
      <c r="G16" s="1">
        <v>2.7936839999999998</v>
      </c>
      <c r="H16" s="2">
        <v>228</v>
      </c>
      <c r="I16">
        <v>55.133333333333333</v>
      </c>
    </row>
    <row r="17" spans="1:12">
      <c r="A17" t="s">
        <v>0</v>
      </c>
      <c r="B17" t="s">
        <v>3</v>
      </c>
      <c r="C17">
        <v>69.577619990000002</v>
      </c>
      <c r="D17">
        <v>-138.91274999999999</v>
      </c>
      <c r="E17">
        <v>2023</v>
      </c>
      <c r="F17" s="1">
        <v>57.668939999999999</v>
      </c>
      <c r="G17" s="1">
        <v>2.7936839999999998</v>
      </c>
      <c r="H17" s="2">
        <v>228</v>
      </c>
      <c r="I17">
        <v>48.43333333333333</v>
      </c>
    </row>
    <row r="18" spans="1:12">
      <c r="A18" t="s">
        <v>0</v>
      </c>
      <c r="B18" s="3" t="s">
        <v>4</v>
      </c>
      <c r="C18">
        <v>69.576106809999999</v>
      </c>
      <c r="D18">
        <v>-138.90396720000001</v>
      </c>
      <c r="E18">
        <v>2023</v>
      </c>
      <c r="F18" s="1">
        <v>32.122779999999999</v>
      </c>
      <c r="G18" s="1">
        <v>6.2787110000000004</v>
      </c>
      <c r="H18" s="2">
        <v>228</v>
      </c>
      <c r="I18">
        <v>61.79999999999999</v>
      </c>
    </row>
    <row r="19" spans="1:12">
      <c r="A19" t="s">
        <v>0</v>
      </c>
      <c r="B19" s="3" t="s">
        <v>4</v>
      </c>
      <c r="C19">
        <v>69.576106809999999</v>
      </c>
      <c r="D19">
        <v>-138.90396720000001</v>
      </c>
      <c r="E19">
        <v>2023</v>
      </c>
      <c r="F19" s="1">
        <v>32.122779999999999</v>
      </c>
      <c r="G19" s="1">
        <v>6.2787110000000004</v>
      </c>
      <c r="H19" s="2">
        <v>228</v>
      </c>
      <c r="I19">
        <v>63.866666666666674</v>
      </c>
    </row>
    <row r="20" spans="1:12">
      <c r="A20" t="s">
        <v>0</v>
      </c>
      <c r="B20" s="3" t="s">
        <v>4</v>
      </c>
      <c r="C20">
        <v>69.576106809999999</v>
      </c>
      <c r="D20">
        <v>-138.90396720000001</v>
      </c>
      <c r="E20">
        <v>2023</v>
      </c>
      <c r="F20" s="1">
        <v>32.122779999999999</v>
      </c>
      <c r="G20" s="1">
        <v>6.2787110000000004</v>
      </c>
      <c r="H20" s="2">
        <v>228</v>
      </c>
      <c r="I20">
        <v>58.833333333333336</v>
      </c>
    </row>
    <row r="21" spans="1:12">
      <c r="A21" t="s">
        <v>0</v>
      </c>
      <c r="B21" s="3" t="s">
        <v>4</v>
      </c>
      <c r="C21">
        <v>69.576106809999999</v>
      </c>
      <c r="D21">
        <v>-138.90396720000001</v>
      </c>
      <c r="E21">
        <v>2023</v>
      </c>
      <c r="F21" s="1">
        <v>32.122779999999999</v>
      </c>
      <c r="G21" s="1">
        <v>6.2787110000000004</v>
      </c>
      <c r="H21" s="2">
        <v>228</v>
      </c>
      <c r="I21">
        <v>51.766666666666673</v>
      </c>
    </row>
    <row r="22" spans="1:12">
      <c r="A22" t="s">
        <v>0</v>
      </c>
      <c r="B22" s="3" t="s">
        <v>5</v>
      </c>
      <c r="C22">
        <v>69.575888039999995</v>
      </c>
      <c r="D22">
        <v>-138.90355299999999</v>
      </c>
      <c r="E22">
        <v>2023</v>
      </c>
      <c r="F22" s="1">
        <v>29.5139</v>
      </c>
      <c r="G22" s="1">
        <v>7.6486470000000004</v>
      </c>
      <c r="H22">
        <v>228</v>
      </c>
      <c r="I22">
        <v>63.566666666666663</v>
      </c>
    </row>
    <row r="23" spans="1:12">
      <c r="A23" t="s">
        <v>0</v>
      </c>
      <c r="B23" s="3" t="s">
        <v>5</v>
      </c>
      <c r="C23">
        <v>69.575888039999995</v>
      </c>
      <c r="D23">
        <v>-138.90355299999999</v>
      </c>
      <c r="E23">
        <v>2023</v>
      </c>
      <c r="F23" s="1">
        <v>29.5139</v>
      </c>
      <c r="G23" s="1">
        <v>7.6486470000000004</v>
      </c>
      <c r="H23">
        <v>228</v>
      </c>
      <c r="I23">
        <v>51.733333333333327</v>
      </c>
    </row>
    <row r="24" spans="1:12">
      <c r="A24" t="s">
        <v>0</v>
      </c>
      <c r="B24" s="3" t="s">
        <v>5</v>
      </c>
      <c r="C24">
        <v>69.575888039999995</v>
      </c>
      <c r="D24">
        <v>-138.90355299999999</v>
      </c>
      <c r="E24">
        <v>2023</v>
      </c>
      <c r="F24" s="1">
        <v>29.5139</v>
      </c>
      <c r="G24" s="1">
        <v>7.6486470000000004</v>
      </c>
      <c r="H24">
        <v>228</v>
      </c>
      <c r="I24">
        <v>53.466666666666661</v>
      </c>
    </row>
    <row r="25" spans="1:12">
      <c r="A25" t="s">
        <v>0</v>
      </c>
      <c r="B25" s="3" t="s">
        <v>5</v>
      </c>
      <c r="C25">
        <v>69.575888039999995</v>
      </c>
      <c r="D25">
        <v>-138.90355299999999</v>
      </c>
      <c r="E25">
        <v>2023</v>
      </c>
      <c r="F25" s="1">
        <v>29.5139</v>
      </c>
      <c r="G25" s="1">
        <v>7.6486470000000004</v>
      </c>
      <c r="H25">
        <v>228</v>
      </c>
      <c r="I25">
        <v>58.6</v>
      </c>
    </row>
    <row r="26" spans="1:12">
      <c r="A26" t="s">
        <v>0</v>
      </c>
      <c r="B26" t="s">
        <v>1</v>
      </c>
      <c r="C26">
        <v>69.574881039999994</v>
      </c>
      <c r="D26">
        <v>-138.86307059999999</v>
      </c>
      <c r="E26">
        <v>2024</v>
      </c>
      <c r="F26" s="1">
        <v>71.664990000000003</v>
      </c>
      <c r="G26" s="1">
        <v>1.0686739999999999</v>
      </c>
      <c r="H26" s="2">
        <v>224</v>
      </c>
      <c r="I26">
        <v>48.433333333333337</v>
      </c>
      <c r="J26">
        <f>I26-I2</f>
        <v>-1.7999999999999901</v>
      </c>
      <c r="K26">
        <f>(J26/I2)*100</f>
        <v>-3.5832780358327612</v>
      </c>
      <c r="L26" t="s">
        <v>18</v>
      </c>
    </row>
    <row r="27" spans="1:12">
      <c r="A27" t="s">
        <v>0</v>
      </c>
      <c r="B27" t="s">
        <v>1</v>
      </c>
      <c r="C27">
        <v>69.574888920000006</v>
      </c>
      <c r="D27">
        <v>-138.8631728</v>
      </c>
      <c r="E27">
        <v>2024</v>
      </c>
      <c r="F27" s="1">
        <v>71.566590000000005</v>
      </c>
      <c r="G27" s="1">
        <v>3.236253</v>
      </c>
      <c r="H27" s="2">
        <v>224</v>
      </c>
      <c r="I27">
        <v>48.4</v>
      </c>
      <c r="J27">
        <f t="shared" ref="J27:J49" si="0">I27-I3</f>
        <v>-3.6000000000000014</v>
      </c>
      <c r="K27">
        <f t="shared" ref="K27:K49" si="1">(J27/I3)*100</f>
        <v>-6.923076923076926</v>
      </c>
      <c r="L27" t="s">
        <v>18</v>
      </c>
    </row>
    <row r="28" spans="1:12">
      <c r="A28" t="s">
        <v>0</v>
      </c>
      <c r="B28" t="s">
        <v>1</v>
      </c>
      <c r="C28">
        <v>69.574882380000005</v>
      </c>
      <c r="D28">
        <v>-138.8634658</v>
      </c>
      <c r="E28">
        <v>2024</v>
      </c>
      <c r="F28" s="1">
        <v>71.334130000000002</v>
      </c>
      <c r="G28" s="1">
        <v>2.6920440000000001</v>
      </c>
      <c r="H28" s="2">
        <v>224</v>
      </c>
      <c r="I28">
        <v>38.6</v>
      </c>
      <c r="J28">
        <f t="shared" si="0"/>
        <v>-5.86666666666666</v>
      </c>
      <c r="K28">
        <f t="shared" si="1"/>
        <v>-13.193403298350811</v>
      </c>
      <c r="L28" t="s">
        <v>18</v>
      </c>
    </row>
    <row r="29" spans="1:12">
      <c r="A29" t="s">
        <v>0</v>
      </c>
      <c r="B29" t="s">
        <v>1</v>
      </c>
      <c r="C29">
        <v>69.574860330000007</v>
      </c>
      <c r="D29">
        <v>-138.8637913</v>
      </c>
      <c r="E29">
        <v>2024</v>
      </c>
      <c r="F29" s="1">
        <v>71.194389999999999</v>
      </c>
      <c r="G29" s="1">
        <v>1.1705080000000001</v>
      </c>
      <c r="H29" s="2">
        <v>224</v>
      </c>
      <c r="I29">
        <v>40.133333333333333</v>
      </c>
      <c r="J29">
        <f t="shared" si="0"/>
        <v>-7.7666666666666657</v>
      </c>
      <c r="K29">
        <f t="shared" si="1"/>
        <v>-16.214335421016006</v>
      </c>
      <c r="L29" t="s">
        <v>18</v>
      </c>
    </row>
    <row r="30" spans="1:12">
      <c r="A30" t="s">
        <v>0</v>
      </c>
      <c r="B30" t="s">
        <v>1</v>
      </c>
      <c r="C30">
        <v>69.574861170000005</v>
      </c>
      <c r="D30">
        <v>-138.86387010000001</v>
      </c>
      <c r="E30">
        <v>2024</v>
      </c>
      <c r="F30" s="1">
        <v>71.170460000000006</v>
      </c>
      <c r="G30" s="1">
        <v>1.1862360000000001</v>
      </c>
      <c r="H30" s="2">
        <v>224</v>
      </c>
      <c r="I30">
        <v>39.06666666666667</v>
      </c>
      <c r="J30">
        <f t="shared" si="0"/>
        <v>-5.8666666666666671</v>
      </c>
      <c r="K30">
        <f t="shared" si="1"/>
        <v>-13.056379821958458</v>
      </c>
      <c r="L30" t="s">
        <v>18</v>
      </c>
    </row>
    <row r="31" spans="1:12">
      <c r="A31" t="s">
        <v>0</v>
      </c>
      <c r="B31" t="s">
        <v>1</v>
      </c>
      <c r="C31">
        <v>69.574857399999999</v>
      </c>
      <c r="D31">
        <v>-138.8640747</v>
      </c>
      <c r="E31">
        <v>2024</v>
      </c>
      <c r="F31" s="1">
        <v>71.030659999999997</v>
      </c>
      <c r="G31" s="1">
        <v>1.785264</v>
      </c>
      <c r="H31" s="2">
        <v>224</v>
      </c>
      <c r="I31">
        <v>46.199999999999996</v>
      </c>
      <c r="J31">
        <f t="shared" si="0"/>
        <v>-9.63333333333334</v>
      </c>
      <c r="K31">
        <f t="shared" si="1"/>
        <v>-17.253731343283594</v>
      </c>
      <c r="L31" t="s">
        <v>18</v>
      </c>
    </row>
    <row r="32" spans="1:12">
      <c r="A32" t="s">
        <v>0</v>
      </c>
      <c r="B32" t="s">
        <v>2</v>
      </c>
      <c r="C32">
        <v>69.576416179999995</v>
      </c>
      <c r="D32">
        <v>-138.86817970000001</v>
      </c>
      <c r="E32">
        <v>2024</v>
      </c>
      <c r="F32" s="1">
        <v>71.11157</v>
      </c>
      <c r="G32" s="1">
        <v>3.3767399999999999</v>
      </c>
      <c r="H32" s="2">
        <v>224</v>
      </c>
      <c r="I32">
        <v>66.36666666666666</v>
      </c>
      <c r="J32">
        <f t="shared" si="0"/>
        <v>-8.7333333333333485</v>
      </c>
      <c r="K32">
        <f t="shared" si="1"/>
        <v>-11.628939192188211</v>
      </c>
      <c r="L32" t="s">
        <v>18</v>
      </c>
    </row>
    <row r="33" spans="1:12">
      <c r="A33" t="s">
        <v>0</v>
      </c>
      <c r="B33" t="s">
        <v>2</v>
      </c>
      <c r="C33">
        <v>69.576403529999993</v>
      </c>
      <c r="D33">
        <v>-138.86811879999999</v>
      </c>
      <c r="E33">
        <v>2024</v>
      </c>
      <c r="F33" s="1">
        <v>71.146529999999998</v>
      </c>
      <c r="G33" s="1">
        <v>2.5742989999999999</v>
      </c>
      <c r="H33" s="2">
        <v>224</v>
      </c>
      <c r="I33">
        <v>64.8</v>
      </c>
      <c r="J33">
        <f t="shared" si="0"/>
        <v>-17.26666666666668</v>
      </c>
      <c r="K33">
        <f t="shared" si="1"/>
        <v>-21.039805036555659</v>
      </c>
      <c r="L33" t="s">
        <v>18</v>
      </c>
    </row>
    <row r="34" spans="1:12">
      <c r="A34" t="s">
        <v>0</v>
      </c>
      <c r="B34" t="s">
        <v>2</v>
      </c>
      <c r="C34">
        <v>69.576461190000003</v>
      </c>
      <c r="D34">
        <v>-138.86773909999999</v>
      </c>
      <c r="E34">
        <v>2024</v>
      </c>
      <c r="F34" s="1">
        <v>71.806269999999998</v>
      </c>
      <c r="G34" s="1">
        <v>4.376296</v>
      </c>
      <c r="H34" s="2">
        <v>224</v>
      </c>
      <c r="I34">
        <v>65.566666666666663</v>
      </c>
      <c r="J34">
        <f t="shared" si="0"/>
        <v>-26.366666666666674</v>
      </c>
      <c r="K34">
        <f t="shared" si="1"/>
        <v>-28.680203045685289</v>
      </c>
      <c r="L34" t="s">
        <v>19</v>
      </c>
    </row>
    <row r="35" spans="1:12">
      <c r="A35" t="s">
        <v>0</v>
      </c>
      <c r="B35" t="s">
        <v>2</v>
      </c>
      <c r="C35">
        <v>69.576468489999996</v>
      </c>
      <c r="D35">
        <v>-138.8676384</v>
      </c>
      <c r="E35">
        <v>2024</v>
      </c>
      <c r="F35" s="1">
        <v>71.979259999999996</v>
      </c>
      <c r="G35" s="1">
        <v>4.6941449999999998</v>
      </c>
      <c r="H35" s="2">
        <v>224</v>
      </c>
      <c r="I35">
        <v>76.933333333333337</v>
      </c>
      <c r="J35">
        <f t="shared" si="0"/>
        <v>-21.533333333333317</v>
      </c>
      <c r="K35">
        <f t="shared" si="1"/>
        <v>-21.868652674339863</v>
      </c>
      <c r="L35" t="s">
        <v>19</v>
      </c>
    </row>
    <row r="36" spans="1:12">
      <c r="A36" t="s">
        <v>0</v>
      </c>
      <c r="B36" t="s">
        <v>2</v>
      </c>
      <c r="C36">
        <v>69.576505789999999</v>
      </c>
      <c r="D36">
        <v>-138.86729539999999</v>
      </c>
      <c r="E36">
        <v>2024</v>
      </c>
      <c r="F36" s="1">
        <v>72.876679999999993</v>
      </c>
      <c r="G36" s="1">
        <v>2.3661750000000001</v>
      </c>
      <c r="H36" s="2">
        <v>224</v>
      </c>
      <c r="I36">
        <v>69.36666666666666</v>
      </c>
      <c r="J36">
        <f t="shared" si="0"/>
        <v>-9.3000000000000114</v>
      </c>
      <c r="K36">
        <f t="shared" si="1"/>
        <v>-11.822033898305099</v>
      </c>
      <c r="L36" t="s">
        <v>18</v>
      </c>
    </row>
    <row r="37" spans="1:12">
      <c r="A37" t="s">
        <v>0</v>
      </c>
      <c r="B37" t="s">
        <v>2</v>
      </c>
      <c r="C37">
        <v>69.576544850000005</v>
      </c>
      <c r="D37">
        <v>-138.86699780000001</v>
      </c>
      <c r="E37">
        <v>2024</v>
      </c>
      <c r="F37" s="1">
        <v>73.514600000000002</v>
      </c>
      <c r="G37" s="1">
        <v>4.204345</v>
      </c>
      <c r="H37" s="2">
        <v>224</v>
      </c>
      <c r="I37">
        <v>69.899999999999991</v>
      </c>
      <c r="J37">
        <f t="shared" si="0"/>
        <v>-4.2333333333333343</v>
      </c>
      <c r="K37">
        <f t="shared" si="1"/>
        <v>-5.7104316546762606</v>
      </c>
      <c r="L37" t="s">
        <v>19</v>
      </c>
    </row>
    <row r="38" spans="1:12">
      <c r="A38" t="s">
        <v>0</v>
      </c>
      <c r="B38" t="s">
        <v>3</v>
      </c>
      <c r="C38">
        <v>69.577619990000002</v>
      </c>
      <c r="D38">
        <v>-138.91274999999999</v>
      </c>
      <c r="E38">
        <v>2024</v>
      </c>
      <c r="F38" s="1">
        <v>57.668939999999999</v>
      </c>
      <c r="G38" s="1">
        <v>2.7936839999999998</v>
      </c>
      <c r="H38" s="2">
        <v>223</v>
      </c>
      <c r="I38">
        <v>40.733333333333327</v>
      </c>
      <c r="J38">
        <f t="shared" si="0"/>
        <v>-4.9666666666666828</v>
      </c>
      <c r="K38">
        <f t="shared" si="1"/>
        <v>-10.867979576951162</v>
      </c>
      <c r="L38" t="s">
        <v>18</v>
      </c>
    </row>
    <row r="39" spans="1:12">
      <c r="A39" t="s">
        <v>0</v>
      </c>
      <c r="B39" t="s">
        <v>3</v>
      </c>
      <c r="C39">
        <v>69.577619990000002</v>
      </c>
      <c r="D39">
        <v>-138.91274999999999</v>
      </c>
      <c r="E39">
        <v>2024</v>
      </c>
      <c r="F39" s="1">
        <v>57.668939999999999</v>
      </c>
      <c r="G39" s="1">
        <v>2.7936839999999998</v>
      </c>
      <c r="H39" s="2">
        <v>223</v>
      </c>
      <c r="I39">
        <v>46.5</v>
      </c>
      <c r="J39">
        <f t="shared" si="0"/>
        <v>-3.6666666666666643</v>
      </c>
      <c r="K39">
        <f t="shared" si="1"/>
        <v>-7.3089700996677696</v>
      </c>
      <c r="L39" t="s">
        <v>18</v>
      </c>
    </row>
    <row r="40" spans="1:12">
      <c r="A40" t="s">
        <v>0</v>
      </c>
      <c r="B40" t="s">
        <v>3</v>
      </c>
      <c r="C40">
        <v>69.577619990000002</v>
      </c>
      <c r="D40">
        <v>-138.91274999999999</v>
      </c>
      <c r="E40">
        <v>2024</v>
      </c>
      <c r="F40" s="1">
        <v>57.668939999999999</v>
      </c>
      <c r="G40" s="1">
        <v>2.7936839999999998</v>
      </c>
      <c r="H40" s="2">
        <v>223</v>
      </c>
      <c r="I40">
        <v>44.933333333333337</v>
      </c>
      <c r="J40">
        <f t="shared" si="0"/>
        <v>-10.199999999999996</v>
      </c>
      <c r="K40">
        <f t="shared" si="1"/>
        <v>-18.500604594921395</v>
      </c>
      <c r="L40" t="s">
        <v>18</v>
      </c>
    </row>
    <row r="41" spans="1:12">
      <c r="A41" t="s">
        <v>0</v>
      </c>
      <c r="B41" t="s">
        <v>3</v>
      </c>
      <c r="C41">
        <v>69.577619990000002</v>
      </c>
      <c r="D41">
        <v>-138.91274999999999</v>
      </c>
      <c r="E41">
        <v>2024</v>
      </c>
      <c r="F41" s="1">
        <v>57.668939999999999</v>
      </c>
      <c r="G41" s="1">
        <v>2.7936839999999998</v>
      </c>
      <c r="H41" s="2">
        <v>223</v>
      </c>
      <c r="I41">
        <v>40.299999999999997</v>
      </c>
      <c r="J41">
        <f t="shared" si="0"/>
        <v>-8.1333333333333329</v>
      </c>
      <c r="K41">
        <f t="shared" si="1"/>
        <v>-16.792842395044737</v>
      </c>
      <c r="L41" t="s">
        <v>18</v>
      </c>
    </row>
    <row r="42" spans="1:12">
      <c r="A42" t="s">
        <v>0</v>
      </c>
      <c r="B42" s="3" t="s">
        <v>4</v>
      </c>
      <c r="C42">
        <v>69.576106809999999</v>
      </c>
      <c r="D42">
        <v>-138.90396720000001</v>
      </c>
      <c r="E42">
        <v>2024</v>
      </c>
      <c r="F42" s="1">
        <v>32.122779999999999</v>
      </c>
      <c r="G42" s="1">
        <v>6.2787110000000004</v>
      </c>
      <c r="H42" s="2">
        <v>223</v>
      </c>
      <c r="I42">
        <v>69.466666666666669</v>
      </c>
      <c r="J42">
        <f t="shared" si="0"/>
        <v>7.6666666666666785</v>
      </c>
      <c r="K42">
        <f t="shared" si="1"/>
        <v>12.405609492988155</v>
      </c>
      <c r="L42" t="s">
        <v>19</v>
      </c>
    </row>
    <row r="43" spans="1:12">
      <c r="A43" t="s">
        <v>0</v>
      </c>
      <c r="B43" s="3" t="s">
        <v>4</v>
      </c>
      <c r="C43">
        <v>69.576106809999999</v>
      </c>
      <c r="D43">
        <v>-138.90396720000001</v>
      </c>
      <c r="E43">
        <v>2024</v>
      </c>
      <c r="F43" s="1">
        <v>32.122779999999999</v>
      </c>
      <c r="G43" s="1">
        <v>6.2787110000000004</v>
      </c>
      <c r="H43" s="2">
        <v>223</v>
      </c>
      <c r="I43">
        <v>58.533333333333339</v>
      </c>
      <c r="J43">
        <f t="shared" si="0"/>
        <v>-5.3333333333333357</v>
      </c>
      <c r="K43">
        <f t="shared" si="1"/>
        <v>-8.3507306889352844</v>
      </c>
      <c r="L43" t="s">
        <v>19</v>
      </c>
    </row>
    <row r="44" spans="1:12">
      <c r="A44" t="s">
        <v>0</v>
      </c>
      <c r="B44" s="3" t="s">
        <v>4</v>
      </c>
      <c r="C44">
        <v>69.576106809999999</v>
      </c>
      <c r="D44">
        <v>-138.90396720000001</v>
      </c>
      <c r="E44">
        <v>2024</v>
      </c>
      <c r="F44" s="1">
        <v>32.122779999999999</v>
      </c>
      <c r="G44" s="1">
        <v>6.2787110000000004</v>
      </c>
      <c r="H44" s="2">
        <v>223</v>
      </c>
      <c r="I44">
        <v>48.533333333333331</v>
      </c>
      <c r="J44">
        <f t="shared" si="0"/>
        <v>-10.300000000000004</v>
      </c>
      <c r="K44">
        <f t="shared" si="1"/>
        <v>-17.507082152974508</v>
      </c>
      <c r="L44" t="s">
        <v>19</v>
      </c>
    </row>
    <row r="45" spans="1:12">
      <c r="A45" t="s">
        <v>0</v>
      </c>
      <c r="B45" s="3" t="s">
        <v>4</v>
      </c>
      <c r="C45">
        <v>69.576106809999999</v>
      </c>
      <c r="D45">
        <v>-138.90396720000001</v>
      </c>
      <c r="E45">
        <v>2024</v>
      </c>
      <c r="F45" s="1">
        <v>32.122779999999999</v>
      </c>
      <c r="G45" s="1">
        <v>6.2787110000000004</v>
      </c>
      <c r="H45" s="2">
        <v>223</v>
      </c>
      <c r="I45">
        <v>45</v>
      </c>
      <c r="J45">
        <f t="shared" si="0"/>
        <v>-6.7666666666666728</v>
      </c>
      <c r="K45">
        <f t="shared" si="1"/>
        <v>-13.071474565357383</v>
      </c>
      <c r="L45" t="s">
        <v>19</v>
      </c>
    </row>
    <row r="46" spans="1:12">
      <c r="A46" t="s">
        <v>0</v>
      </c>
      <c r="B46" s="3" t="s">
        <v>5</v>
      </c>
      <c r="C46">
        <v>69.575888039999995</v>
      </c>
      <c r="D46">
        <v>-138.90355299999999</v>
      </c>
      <c r="E46">
        <v>2024</v>
      </c>
      <c r="F46" s="1">
        <v>29.5139</v>
      </c>
      <c r="G46" s="1">
        <v>7.6486470000000004</v>
      </c>
      <c r="H46" s="2">
        <v>223</v>
      </c>
      <c r="I46">
        <v>67.233333333333334</v>
      </c>
      <c r="J46">
        <f t="shared" si="0"/>
        <v>3.6666666666666714</v>
      </c>
      <c r="K46">
        <f t="shared" si="1"/>
        <v>5.7682223387519747</v>
      </c>
      <c r="L46" t="s">
        <v>20</v>
      </c>
    </row>
    <row r="47" spans="1:12">
      <c r="A47" t="s">
        <v>0</v>
      </c>
      <c r="B47" s="3" t="s">
        <v>5</v>
      </c>
      <c r="C47">
        <v>69.575888039999995</v>
      </c>
      <c r="D47">
        <v>-138.90355299999999</v>
      </c>
      <c r="E47">
        <v>2024</v>
      </c>
      <c r="F47" s="1">
        <v>29.5139</v>
      </c>
      <c r="G47" s="1">
        <v>7.6486470000000004</v>
      </c>
      <c r="H47" s="2">
        <v>223</v>
      </c>
      <c r="I47">
        <v>54.066666666666663</v>
      </c>
      <c r="J47">
        <f t="shared" si="0"/>
        <v>2.3333333333333357</v>
      </c>
      <c r="K47">
        <f t="shared" si="1"/>
        <v>4.5103092783505199</v>
      </c>
      <c r="L47" t="s">
        <v>20</v>
      </c>
    </row>
    <row r="48" spans="1:12">
      <c r="A48" t="s">
        <v>0</v>
      </c>
      <c r="B48" s="3" t="s">
        <v>5</v>
      </c>
      <c r="C48">
        <v>69.575888039999995</v>
      </c>
      <c r="D48">
        <v>-138.90355299999999</v>
      </c>
      <c r="E48">
        <v>2024</v>
      </c>
      <c r="F48" s="1">
        <v>29.5139</v>
      </c>
      <c r="G48" s="1">
        <v>7.6486470000000004</v>
      </c>
      <c r="H48" s="2">
        <v>223</v>
      </c>
      <c r="I48">
        <v>65.266666666666666</v>
      </c>
      <c r="J48">
        <f t="shared" si="0"/>
        <v>11.800000000000004</v>
      </c>
      <c r="K48">
        <f t="shared" si="1"/>
        <v>22.069825436408987</v>
      </c>
      <c r="L48" t="s">
        <v>20</v>
      </c>
    </row>
    <row r="49" spans="1:12">
      <c r="A49" t="s">
        <v>0</v>
      </c>
      <c r="B49" s="3" t="s">
        <v>5</v>
      </c>
      <c r="C49">
        <v>69.575888039999995</v>
      </c>
      <c r="D49">
        <v>-138.90355299999999</v>
      </c>
      <c r="E49">
        <v>2024</v>
      </c>
      <c r="F49" s="1">
        <v>29.5139</v>
      </c>
      <c r="G49" s="1">
        <v>7.6486470000000004</v>
      </c>
      <c r="H49" s="2">
        <v>223</v>
      </c>
      <c r="I49">
        <v>63.233333333333327</v>
      </c>
      <c r="J49">
        <f t="shared" si="0"/>
        <v>4.6333333333333258</v>
      </c>
      <c r="K49">
        <f t="shared" si="1"/>
        <v>7.906712172923763</v>
      </c>
      <c r="L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2026-02-09T11:11:29Z</dcterms:created>
  <dcterms:modified xsi:type="dcterms:W3CDTF">2026-02-09T11:21:55Z</dcterms:modified>
</cp:coreProperties>
</file>